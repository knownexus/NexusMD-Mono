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Tracker" sheetId="2" state="visible" r:id="rId2"/>
  </sheets>
  <definedNames>
    <definedName name="_xlnm._FilterDatabase" localSheetId="1" hidden="1">'Tracker'!$A$1:$L$23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2E5C8A"/>
      <sz val="16"/>
    </font>
    <font>
      <name val="Arial"/>
      <i val="1"/>
      <color rgb="00666666"/>
      <sz val="10"/>
    </font>
    <font>
      <name val="Arial"/>
      <b val="1"/>
      <color rgb="001F3F5E"/>
      <sz val="9"/>
    </font>
    <font>
      <name val="Arial"/>
      <b val="1"/>
      <color rgb="002E5C8A"/>
      <sz val="22"/>
    </font>
    <font>
      <name val="Arial"/>
      <b val="1"/>
      <color rgb="001F3F5E"/>
      <sz val="12"/>
    </font>
    <font>
      <name val="Arial"/>
      <b val="1"/>
      <color rgb="00FFFFFF"/>
      <sz val="10"/>
    </font>
    <font>
      <name val="Arial"/>
      <b val="1"/>
      <sz val="10"/>
    </font>
    <font>
      <name val="Arial"/>
      <sz val="10"/>
    </font>
  </fonts>
  <fills count="7">
    <fill>
      <patternFill/>
    </fill>
    <fill>
      <patternFill patternType="gray125"/>
    </fill>
    <fill>
      <patternFill patternType="solid">
        <fgColor rgb="00D5E8F0"/>
      </patternFill>
    </fill>
    <fill>
      <patternFill patternType="solid">
        <fgColor rgb="00D9EAD3"/>
      </patternFill>
    </fill>
    <fill>
      <patternFill patternType="solid">
        <fgColor rgb="00FCE9D2"/>
      </patternFill>
    </fill>
    <fill>
      <patternFill patternType="solid">
        <fgColor rgb="00F4CCCC"/>
      </patternFill>
    </fill>
    <fill>
      <patternFill patternType="solid">
        <fgColor rgb="002E5C8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xf>
    <xf numFmtId="0" fontId="3" fillId="3" borderId="1" applyAlignment="1" pivotButton="0" quotePrefix="0" xfId="0">
      <alignment horizontal="center"/>
    </xf>
    <xf numFmtId="0" fontId="3" fillId="4" borderId="1" applyAlignment="1" pivotButton="0" quotePrefix="0" xfId="0">
      <alignment horizontal="center"/>
    </xf>
    <xf numFmtId="0" fontId="3" fillId="5" borderId="1" applyAlignment="1" pivotButton="0" quotePrefix="0" xfId="0">
      <alignment horizontal="center"/>
    </xf>
    <xf numFmtId="0" fontId="4" fillId="2" borderId="1" applyAlignment="1" pivotButton="0" quotePrefix="0" xfId="0">
      <alignment horizontal="center"/>
    </xf>
    <xf numFmtId="0" fontId="4" fillId="3" borderId="1" applyAlignment="1" pivotButton="0" quotePrefix="0" xfId="0">
      <alignment horizontal="center"/>
    </xf>
    <xf numFmtId="0" fontId="4" fillId="4" borderId="1" applyAlignment="1" pivotButton="0" quotePrefix="0" xfId="0">
      <alignment horizontal="center"/>
    </xf>
    <xf numFmtId="0" fontId="4" fillId="5" borderId="1" applyAlignment="1" pivotButton="0" quotePrefix="0" xfId="0">
      <alignment horizontal="center"/>
    </xf>
    <xf numFmtId="0" fontId="5" fillId="0" borderId="0" pivotButton="0" quotePrefix="0" xfId="0"/>
    <xf numFmtId="0" fontId="6" fillId="6" borderId="1" applyAlignment="1" pivotButton="0" quotePrefix="0" xfId="0">
      <alignment horizontal="center" vertical="center"/>
    </xf>
    <xf numFmtId="0" fontId="7" fillId="3" borderId="1" pivotButton="0" quotePrefix="0" xfId="0"/>
    <xf numFmtId="0" fontId="8" fillId="0" borderId="1" applyAlignment="1" pivotButton="0" quotePrefix="0" xfId="0">
      <alignment horizontal="center" vertical="center"/>
    </xf>
    <xf numFmtId="0" fontId="8" fillId="0" borderId="1" pivotButton="0" quotePrefix="0" xfId="0"/>
    <xf numFmtId="0" fontId="7" fillId="4" borderId="1" pivotButton="0" quotePrefix="0" xfId="0"/>
    <xf numFmtId="0" fontId="7" fillId="5" borderId="1" pivotButton="0" quotePrefix="0" xfId="0"/>
    <xf numFmtId="0" fontId="6" fillId="6" borderId="1" applyAlignment="1" pivotButton="0" quotePrefix="0" xfId="0">
      <alignment horizontal="center" vertical="center" wrapText="1"/>
    </xf>
    <xf numFmtId="0" fontId="8" fillId="0" borderId="1" applyAlignment="1" pivotButton="0" quotePrefix="0" xfId="0">
      <alignment horizontal="center" vertical="top" wrapText="1"/>
    </xf>
    <xf numFmtId="0" fontId="8" fillId="0" borderId="1" applyAlignment="1" pivotButton="0" quotePrefix="0" xfId="0">
      <alignment vertical="top" wrapText="1"/>
    </xf>
  </cellXfs>
  <cellStyles count="1">
    <cellStyle name="Normal" xfId="0" builtinId="0" hidden="0"/>
  </cellStyles>
  <dxfs count="4">
    <dxf>
      <fill>
        <patternFill patternType="solid">
          <fgColor rgb="00D9EAD3"/>
        </patternFill>
      </fill>
    </dxf>
    <dxf>
      <fill>
        <patternFill patternType="solid">
          <fgColor rgb="00FCE9D2"/>
        </patternFill>
      </fill>
    </dxf>
    <dxf>
      <fill>
        <patternFill patternType="solid">
          <fgColor rgb="00F4CCCC"/>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5"/>
  <sheetViews>
    <sheetView showGridLines="0" workbookViewId="0">
      <selection activeCell="A1" sqref="A1"/>
    </sheetView>
  </sheetViews>
  <sheetFormatPr baseColWidth="8" defaultRowHeight="15"/>
  <cols>
    <col width="2" customWidth="1" min="1" max="1"/>
    <col width="24" customWidth="1" min="2" max="2"/>
    <col width="10" customWidth="1" min="3" max="3"/>
    <col width="14" customWidth="1" min="4" max="4"/>
    <col width="10" customWidth="1" min="5" max="5"/>
    <col width="18" customWidth="1" min="6" max="6"/>
    <col width="10" customWidth="1" min="7" max="7"/>
    <col width="16" customWidth="1" min="8" max="8"/>
  </cols>
  <sheetData>
    <row r="2">
      <c r="B2" s="1" t="inlineStr">
        <is>
          <t>Unassigned To-Do Triage — Daily</t>
        </is>
      </c>
    </row>
    <row r="3">
      <c r="B3" s="2" t="inlineStr">
        <is>
          <t>Open, unassigned work items. Auto-generated 2026-06-03.</t>
        </is>
      </c>
    </row>
    <row r="5">
      <c r="B5" s="3" t="inlineStr">
        <is>
          <t>TOTAL ITEMS</t>
        </is>
      </c>
      <c r="D5" s="4" t="inlineStr">
        <is>
          <t>READY TO ASSIGN</t>
        </is>
      </c>
      <c r="F5" s="5" t="inlineStr">
        <is>
          <t>NEED FLESH OUT</t>
        </is>
      </c>
      <c r="H5" s="6" t="inlineStr">
        <is>
          <t>NEED DECISION</t>
        </is>
      </c>
    </row>
    <row r="6">
      <c r="B6" s="7">
        <f>COUNTA(Tracker!A2:A1000)</f>
        <v/>
      </c>
      <c r="D6" s="8">
        <f>COUNTIF(Tracker!F2:F1000,"Ready to assign")</f>
        <v/>
      </c>
      <c r="F6" s="9">
        <f>COUNTIF(Tracker!F2:F1000,"Flesh out")</f>
        <v/>
      </c>
      <c r="H6" s="10">
        <f>COUNTIF(Tracker!F2:F1000,"Decision")</f>
        <v/>
      </c>
    </row>
    <row r="9">
      <c r="B9" s="11" t="inlineStr">
        <is>
          <t>By bucket</t>
        </is>
      </c>
    </row>
    <row r="10">
      <c r="B10" s="12" t="inlineStr">
        <is>
          <t>Bucket</t>
        </is>
      </c>
      <c r="C10" s="12" t="inlineStr">
        <is>
          <t>Count</t>
        </is>
      </c>
      <c r="D10" s="12" t="inlineStr">
        <is>
          <t>What to do</t>
        </is>
      </c>
    </row>
    <row r="11">
      <c r="B11" s="13" t="inlineStr">
        <is>
          <t>Ready to assign</t>
        </is>
      </c>
      <c r="C11" s="14">
        <f>COUNTIF(Tracker!F2:F1000,"Ready to assign")</f>
        <v/>
      </c>
      <c r="D11" s="15" t="inlineStr">
        <is>
          <t>Assign to an area owner this week.</t>
        </is>
      </c>
    </row>
    <row r="12">
      <c r="B12" s="16" t="inlineStr">
        <is>
          <t>Flesh out</t>
        </is>
      </c>
      <c r="C12" s="14">
        <f>COUNTIF(Tracker!F2:F1000,"Flesh out")</f>
        <v/>
      </c>
      <c r="D12" s="15" t="inlineStr">
        <is>
          <t>Apply the ticket template + acceptance criteria.</t>
        </is>
      </c>
    </row>
    <row r="13">
      <c r="B13" s="17" t="inlineStr">
        <is>
          <t>Decision</t>
        </is>
      </c>
      <c r="C13" s="14">
        <f>COUNTIF(Tracker!F2:F1000,"Decision")</f>
        <v/>
      </c>
      <c r="D13" s="15" t="inlineStr">
        <is>
          <t>Put on an agenda; make the call, then spec/close.</t>
        </is>
      </c>
    </row>
    <row r="16">
      <c r="B16" s="11" t="inlineStr">
        <is>
          <t>By area</t>
        </is>
      </c>
    </row>
    <row r="17">
      <c r="B17" s="12" t="inlineStr">
        <is>
          <t>Area</t>
        </is>
      </c>
      <c r="C17" s="12" t="inlineStr">
        <is>
          <t>Count</t>
        </is>
      </c>
    </row>
    <row r="18">
      <c r="B18" s="15" t="inlineStr">
        <is>
          <t>Claims (FLI)</t>
        </is>
      </c>
      <c r="C18" s="14">
        <f>COUNTIF(Tracker!E2:E1000,"Claims (FLI)")</f>
        <v/>
      </c>
    </row>
    <row r="19">
      <c r="B19" s="15" t="inlineStr">
        <is>
          <t>Invoicing (Cirrus)</t>
        </is>
      </c>
      <c r="C19" s="14">
        <f>COUNTIF(Tracker!E2:E1000,"Invoicing (Cirrus)")</f>
        <v/>
      </c>
    </row>
    <row r="20">
      <c r="B20" s="15" t="inlineStr">
        <is>
          <t>Finance / Payments</t>
        </is>
      </c>
      <c r="C20" s="14">
        <f>COUNTIF(Tracker!E2:E1000,"Finance / Payments")</f>
        <v/>
      </c>
    </row>
    <row r="21">
      <c r="B21" s="15" t="inlineStr">
        <is>
          <t>CRM</t>
        </is>
      </c>
      <c r="C21" s="14">
        <f>COUNTIF(Tracker!E2:E1000,"CRM")</f>
        <v/>
      </c>
    </row>
    <row r="22">
      <c r="B22" s="15" t="inlineStr">
        <is>
          <t>Supportis</t>
        </is>
      </c>
      <c r="C22" s="14">
        <f>COUNTIF(Tracker!E2:E1000,"Supportis")</f>
        <v/>
      </c>
    </row>
    <row r="23">
      <c r="B23" s="15" t="inlineStr">
        <is>
          <t>Quoting (Dual Drive)</t>
        </is>
      </c>
      <c r="C23" s="14">
        <f>COUNTIF(Tracker!E2:E1000,"Quoting (Dual Drive)")</f>
        <v/>
      </c>
    </row>
    <row r="24">
      <c r="B24" s="15" t="inlineStr">
        <is>
          <t>Platform / Infra</t>
        </is>
      </c>
      <c r="C24" s="14">
        <f>COUNTIF(Tracker!E2:E1000,"Platform / Infra")</f>
        <v/>
      </c>
    </row>
    <row r="25">
      <c r="B25" s="15" t="inlineStr">
        <is>
          <t>Other</t>
        </is>
      </c>
      <c r="C25" s="14">
        <f>COUNTIF(Tracker!E2:E1000,"Other")</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3"/>
  <sheetViews>
    <sheetView showGridLines="0" workbookViewId="0">
      <pane ySplit="1" topLeftCell="A2" activePane="bottomLeft" state="frozen"/>
      <selection pane="bottomLeft" activeCell="A1" sqref="A1"/>
    </sheetView>
  </sheetViews>
  <sheetFormatPr baseColWidth="8" defaultRowHeight="15"/>
  <cols>
    <col width="7" customWidth="1" min="1" max="1"/>
    <col width="11" customWidth="1" min="2" max="2"/>
    <col width="13" customWidth="1" min="3" max="3"/>
    <col width="38" customWidth="1" min="4" max="4"/>
    <col width="20" customWidth="1" min="5" max="5"/>
    <col width="16" customWidth="1" min="6" max="6"/>
    <col width="10" customWidth="1" min="7" max="7"/>
    <col width="18" customWidth="1" min="8" max="8"/>
    <col width="13" customWidth="1" min="9" max="9"/>
    <col width="42" customWidth="1" min="10" max="10"/>
    <col width="20" customWidth="1" min="11" max="11"/>
    <col width="46" customWidth="1" min="12" max="12"/>
  </cols>
  <sheetData>
    <row r="1">
      <c r="A1" s="18" t="inlineStr">
        <is>
          <t>ID</t>
        </is>
      </c>
      <c r="B1" s="18" t="inlineStr">
        <is>
          <t>Type</t>
        </is>
      </c>
      <c r="C1" s="18" t="inlineStr">
        <is>
          <t>State</t>
        </is>
      </c>
      <c r="D1" s="18" t="inlineStr">
        <is>
          <t>Title</t>
        </is>
      </c>
      <c r="E1" s="18" t="inlineStr">
        <is>
          <t>Area</t>
        </is>
      </c>
      <c r="F1" s="18" t="inlineStr">
        <is>
          <t>Bucket</t>
        </is>
      </c>
      <c r="G1" s="18" t="inlineStr">
        <is>
          <t>Priority</t>
        </is>
      </c>
      <c r="H1" s="18" t="inlineStr">
        <is>
          <t>Suggested owner</t>
        </is>
      </c>
      <c r="I1" s="18" t="inlineStr">
        <is>
          <t>Status</t>
        </is>
      </c>
      <c r="J1" s="18" t="inlineStr">
        <is>
          <t>Next action</t>
        </is>
      </c>
      <c r="K1" s="18" t="inlineStr">
        <is>
          <t>Tags</t>
        </is>
      </c>
      <c r="L1" s="18" t="inlineStr">
        <is>
          <t>Description</t>
        </is>
      </c>
    </row>
    <row r="2" ht="42" customHeight="1">
      <c r="A2" s="19" t="inlineStr">
        <is>
          <t>934</t>
        </is>
      </c>
      <c r="B2" s="19" t="inlineStr">
        <is>
          <t>Bug</t>
        </is>
      </c>
      <c r="C2" s="19" t="inlineStr">
        <is>
          <t>Active</t>
        </is>
      </c>
      <c r="D2" s="20" t="inlineStr">
        <is>
          <t>Claims - Financial data on cost not sitting correctly on Claim table via BX import</t>
        </is>
      </c>
      <c r="E2" s="20" t="inlineStr">
        <is>
          <t>Claims (FLI)</t>
        </is>
      </c>
      <c r="F2" s="19" t="inlineStr">
        <is>
          <t>Flesh out</t>
        </is>
      </c>
      <c r="G2" s="19" t="inlineStr">
        <is>
          <t>High</t>
        </is>
      </c>
      <c r="H2" s="20" t="inlineStr">
        <is>
          <t>TBD</t>
        </is>
      </c>
      <c r="I2" s="19" t="inlineStr">
        <is>
          <t>In progress</t>
        </is>
      </c>
      <c r="J2" s="20" t="inlineStr">
        <is>
          <t>Empty body — add repro steps and a sample BX import that reproduces it.</t>
        </is>
      </c>
      <c r="K2" s="20" t="inlineStr">
        <is>
          <t>FLI; Parked</t>
        </is>
      </c>
      <c r="L2" s="20" t="inlineStr">
        <is>
          <t>For manually creating claims/costs - this is working fine (as you can see the 30.00 in screenshot). However, with an automatic BX claim/cost creation, the claimed cell is not being updated -</t>
        </is>
      </c>
    </row>
    <row r="3" ht="42" customHeight="1">
      <c r="A3" s="19" t="inlineStr">
        <is>
          <t>958</t>
        </is>
      </c>
      <c r="B3" s="19" t="inlineStr">
        <is>
          <t>Bug</t>
        </is>
      </c>
      <c r="C3" s="19" t="inlineStr">
        <is>
          <t>Needs Review</t>
        </is>
      </c>
      <c r="D3" s="20" t="inlineStr">
        <is>
          <t>Cover Level not stored for unmatched claims; no validation on link</t>
        </is>
      </c>
      <c r="E3" s="20" t="inlineStr">
        <is>
          <t>Claims (FLI)</t>
        </is>
      </c>
      <c r="F3" s="19" t="inlineStr">
        <is>
          <t>Decision</t>
        </is>
      </c>
      <c r="G3" s="19" t="inlineStr">
        <is>
          <t>High</t>
        </is>
      </c>
      <c r="H3" s="20" t="inlineStr">
        <is>
          <t>TBD</t>
        </is>
      </c>
      <c r="I3" s="19" t="inlineStr">
        <is>
          <t>Not started</t>
        </is>
      </c>
      <c r="J3" s="20" t="inlineStr">
        <is>
          <t>Has full background. Make the review decision, then assign. NB: likely duplicate of #1567.</t>
        </is>
      </c>
      <c r="K3" s="20" t="inlineStr">
        <is>
          <t>Parked</t>
        </is>
      </c>
      <c r="L3" s="20" t="inlineStr">
        <is>
          <t>Background When a claims bordereaux row cannot be matched to a policy, the Cover Level entered on the bordereaux is currently not shown on the unmatched claim record. When the user links the claim to a policy, there is no validation or feedback if the Cover Level is incompatible with the selected po</t>
        </is>
      </c>
    </row>
    <row r="4" ht="42" customHeight="1">
      <c r="A4" s="19" t="inlineStr">
        <is>
          <t>1567</t>
        </is>
      </c>
      <c r="B4" s="19" t="inlineStr">
        <is>
          <t>Bug</t>
        </is>
      </c>
      <c r="C4" s="19" t="inlineStr">
        <is>
          <t>New</t>
        </is>
      </c>
      <c r="D4" s="20" t="inlineStr">
        <is>
          <t>Cover Level not stored for unmatched claims; no validation on link</t>
        </is>
      </c>
      <c r="E4" s="20" t="inlineStr">
        <is>
          <t>Claims (FLI)</t>
        </is>
      </c>
      <c r="F4" s="19" t="inlineStr">
        <is>
          <t>Ready to assign</t>
        </is>
      </c>
      <c r="G4" s="19" t="inlineStr">
        <is>
          <t>High</t>
        </is>
      </c>
      <c r="H4" s="20" t="inlineStr">
        <is>
          <t>TBD</t>
        </is>
      </c>
      <c r="I4" s="19" t="inlineStr">
        <is>
          <t>Not started</t>
        </is>
      </c>
      <c r="J4" s="20" t="inlineStr">
        <is>
          <t>Full background + data model present. Assign to a claims dev. NB: dedupe with #958.</t>
        </is>
      </c>
      <c r="K4" s="20" t="inlineStr"/>
      <c r="L4" s="20" t="inlineStr">
        <is>
          <t>Background The claims bordereaux contains a required "Cover Level" column ( Coverage in the data model). When a bordereaux row matches a policy at import time, the Cover Level is validated against that policy and stored. When a row is unmatched (no policy found), the Cover Level is currently discard</t>
        </is>
      </c>
    </row>
    <row r="5" ht="42" customHeight="1">
      <c r="A5" s="19" t="inlineStr">
        <is>
          <t>1422</t>
        </is>
      </c>
      <c r="B5" s="19" t="inlineStr">
        <is>
          <t>Feature</t>
        </is>
      </c>
      <c r="C5" s="19" t="inlineStr">
        <is>
          <t>New</t>
        </is>
      </c>
      <c r="D5" s="20" t="inlineStr">
        <is>
          <t>New payment method direct debit</t>
        </is>
      </c>
      <c r="E5" s="20" t="inlineStr">
        <is>
          <t>Finance / Payments</t>
        </is>
      </c>
      <c r="F5" s="19" t="inlineStr">
        <is>
          <t>Ready to assign</t>
        </is>
      </c>
      <c r="G5" s="19" t="inlineStr">
        <is>
          <t>High</t>
        </is>
      </c>
      <c r="H5" s="20" t="inlineStr">
        <is>
          <t>TBD</t>
        </is>
      </c>
      <c r="I5" s="19" t="inlineStr">
        <is>
          <t>Not started</t>
        </is>
      </c>
      <c r="J5" s="20" t="inlineStr">
        <is>
          <t>Mostly specced (threshold logic). Finish acceptance criteria, then assign.</t>
        </is>
      </c>
      <c r="K5" s="20" t="inlineStr"/>
      <c r="L5" s="20" t="inlineStr">
        <is>
          <t>Add "Total Annual Fee – Monthly – Direct Debit" Payment Method with Threshold-Based Auto-Selection Summary Introduce a new payment method - "Total Annual Fee – Monthly – Direct Debit" - and implement automatic selection logic in the service agreement processor so the correct monthly payment method i</t>
        </is>
      </c>
    </row>
    <row r="6" ht="42" customHeight="1">
      <c r="A6" s="19" t="inlineStr">
        <is>
          <t>848</t>
        </is>
      </c>
      <c r="B6" s="19" t="inlineStr">
        <is>
          <t>User Story</t>
        </is>
      </c>
      <c r="C6" s="19" t="inlineStr">
        <is>
          <t>New</t>
        </is>
      </c>
      <c r="D6" s="20" t="inlineStr">
        <is>
          <t>Invoicing - Handle pricing based on product start/end date</t>
        </is>
      </c>
      <c r="E6" s="20" t="inlineStr">
        <is>
          <t>Invoicing (Cirrus)</t>
        </is>
      </c>
      <c r="F6" s="19" t="inlineStr">
        <is>
          <t>Decision</t>
        </is>
      </c>
      <c r="G6" s="19" t="inlineStr">
        <is>
          <t>High</t>
        </is>
      </c>
      <c r="H6" s="20" t="inlineStr">
        <is>
          <t>TBD</t>
        </is>
      </c>
      <c r="I6" s="19" t="inlineStr">
        <is>
          <t>Not started</t>
        </is>
      </c>
      <c r="J6" s="20" t="inlineStr">
        <is>
          <t>Confirm the rule change (start/end date vs contract length); impacts Freemium products.</t>
        </is>
      </c>
      <c r="K6" s="20" t="inlineStr">
        <is>
          <t>Cirrus; Parked</t>
        </is>
      </c>
      <c r="L6" s="20" t="inlineStr">
        <is>
          <t>On the Cirrus invoicing, as it stands, the product invoices are based on the contract length as opposed to product start/end date, this is particularly problematic for Freemium products as they are generating finances based on the whole contract as opposed to the whole contract - 12 months. Tables i</t>
        </is>
      </c>
    </row>
    <row r="7" ht="42" customHeight="1">
      <c r="A7" s="19" t="inlineStr">
        <is>
          <t>1557</t>
        </is>
      </c>
      <c r="B7" s="19" t="inlineStr">
        <is>
          <t>Feature</t>
        </is>
      </c>
      <c r="C7" s="19" t="inlineStr">
        <is>
          <t>New</t>
        </is>
      </c>
      <c r="D7" s="20" t="inlineStr">
        <is>
          <t>Add Tasks Tab to Company View in Supportis</t>
        </is>
      </c>
      <c r="E7" s="20" t="inlineStr">
        <is>
          <t>Supportis</t>
        </is>
      </c>
      <c r="F7" s="19" t="inlineStr">
        <is>
          <t>Ready to assign</t>
        </is>
      </c>
      <c r="G7" s="19" t="inlineStr">
        <is>
          <t>High</t>
        </is>
      </c>
      <c r="H7" s="20" t="inlineStr">
        <is>
          <t>TBD</t>
        </is>
      </c>
      <c r="I7" s="19" t="inlineStr">
        <is>
          <t>Not started</t>
        </is>
      </c>
      <c r="J7" s="20" t="inlineStr">
        <is>
          <t>Spike complete and implementation described — assign to a Supportis dev now.</t>
        </is>
      </c>
      <c r="K7" s="20" t="inlineStr"/>
      <c r="L7" s="20" t="inlineStr">
        <is>
          <t>**Description:** Following the spike investigation, task-to-company linking is not currently supported in Supportis. This work item covers the implementation of that functionality, allowing tasks to be created and managed against a specific company directly from the company view. **Background:** The</t>
        </is>
      </c>
    </row>
    <row r="8" ht="42" customHeight="1">
      <c r="A8" s="19" t="inlineStr">
        <is>
          <t>1494</t>
        </is>
      </c>
      <c r="B8" s="19" t="inlineStr">
        <is>
          <t>Feature</t>
        </is>
      </c>
      <c r="C8" s="19" t="inlineStr">
        <is>
          <t>New</t>
        </is>
      </c>
      <c r="D8" s="20" t="inlineStr">
        <is>
          <t>CRM - Activity category mechanism</t>
        </is>
      </c>
      <c r="E8" s="20" t="inlineStr">
        <is>
          <t>CRM</t>
        </is>
      </c>
      <c r="F8" s="19" t="inlineStr">
        <is>
          <t>Decision</t>
        </is>
      </c>
      <c r="G8" s="19" t="inlineStr">
        <is>
          <t>Medium</t>
        </is>
      </c>
      <c r="H8" s="20" t="inlineStr">
        <is>
          <t>TBD</t>
        </is>
      </c>
      <c r="I8" s="19" t="inlineStr">
        <is>
          <t>Not started</t>
        </is>
      </c>
      <c r="J8" s="20" t="inlineStr">
        <is>
          <t>On hold by request ('don't code yet'); await CRM/Cirrus wish list decision.</t>
        </is>
      </c>
      <c r="K8" s="20" t="inlineStr">
        <is>
          <t>Parked</t>
        </is>
      </c>
      <c r="L8" s="20" t="inlineStr">
        <is>
          <t>Dont code anything on this yet. CRM (Lucy, Lewis) have started their Cirrus wish list to move their activities into Cirrus. Big part of it is around comms - they want to be able to get them comms into Cirrus, instead of it being organised in Outlook. As it stands at the minute, all activities in the</t>
        </is>
      </c>
    </row>
    <row r="9" ht="42" customHeight="1">
      <c r="A9" s="19" t="inlineStr">
        <is>
          <t>1546</t>
        </is>
      </c>
      <c r="B9" s="19" t="inlineStr">
        <is>
          <t>Bug</t>
        </is>
      </c>
      <c r="C9" s="19" t="inlineStr">
        <is>
          <t>New</t>
        </is>
      </c>
      <c r="D9" s="20" t="inlineStr">
        <is>
          <t>Investigate Time Manager null reference exception</t>
        </is>
      </c>
      <c r="E9" s="20" t="inlineStr">
        <is>
          <t>CRM</t>
        </is>
      </c>
      <c r="F9" s="19" t="inlineStr">
        <is>
          <t>Ready to assign</t>
        </is>
      </c>
      <c r="G9" s="19" t="inlineStr">
        <is>
          <t>Medium</t>
        </is>
      </c>
      <c r="H9" s="20" t="inlineStr">
        <is>
          <t>TBD</t>
        </is>
      </c>
      <c r="I9" s="19" t="inlineStr">
        <is>
          <t>Not started</t>
        </is>
      </c>
      <c r="J9" s="20" t="inlineStr">
        <is>
          <t>Specced — assign to the area owner this week.</t>
        </is>
      </c>
      <c r="K9" s="20" t="inlineStr">
        <is>
          <t>General</t>
        </is>
      </c>
      <c r="L9" s="20" t="inlineStr">
        <is>
          <t>File: DriveFurtherAPI\Kaleida.DriveFurther.TimeRecorderService\ActivityTimer\TimeManager.cs When listtimer is Null, it attempts to run listtimer.StopTimer(), this will always result in an exception. var listtimer = ActivityTimers. FirstOrDefault ( t =&gt; t .Guid == timer .Guid); if ( listtimer == null</t>
        </is>
      </c>
    </row>
    <row r="10" ht="42" customHeight="1">
      <c r="A10" s="19" t="inlineStr">
        <is>
          <t>483</t>
        </is>
      </c>
      <c r="B10" s="19" t="inlineStr">
        <is>
          <t>User Story</t>
        </is>
      </c>
      <c r="C10" s="19" t="inlineStr">
        <is>
          <t>New</t>
        </is>
      </c>
      <c r="D10" s="20" t="inlineStr">
        <is>
          <t>Batching of Claims / Costs for a Claims Handler</t>
        </is>
      </c>
      <c r="E10" s="20" t="inlineStr">
        <is>
          <t>Claims (FLI)</t>
        </is>
      </c>
      <c r="F10" s="19" t="inlineStr">
        <is>
          <t>Flesh out</t>
        </is>
      </c>
      <c r="G10" s="19" t="inlineStr">
        <is>
          <t>Medium</t>
        </is>
      </c>
      <c r="H10" s="20" t="inlineStr">
        <is>
          <t>TBD</t>
        </is>
      </c>
      <c r="I10" s="19" t="inlineStr">
        <is>
          <t>Not started</t>
        </is>
      </c>
      <c r="J10" s="20" t="inlineStr">
        <is>
          <t>Body is just 'NEEDS MORE DETAILS' — spec with a claims handler before building.</t>
        </is>
      </c>
      <c r="K10" s="20" t="inlineStr">
        <is>
          <t>Not Specced; Parked</t>
        </is>
      </c>
      <c r="L10" s="20" t="inlineStr">
        <is>
          <t>NEEDS MORE DETAILS</t>
        </is>
      </c>
    </row>
    <row r="11" ht="42" customHeight="1">
      <c r="A11" s="19" t="inlineStr">
        <is>
          <t>951</t>
        </is>
      </c>
      <c r="B11" s="19" t="inlineStr">
        <is>
          <t>Bug</t>
        </is>
      </c>
      <c r="C11" s="19" t="inlineStr">
        <is>
          <t>Active</t>
        </is>
      </c>
      <c r="D11" s="20" t="inlineStr">
        <is>
          <t>Date fields in Unmatched Claim Form Not Working</t>
        </is>
      </c>
      <c r="E11" s="20" t="inlineStr">
        <is>
          <t>Claims (FLI)</t>
        </is>
      </c>
      <c r="F11" s="19" t="inlineStr">
        <is>
          <t>Flesh out</t>
        </is>
      </c>
      <c r="G11" s="19" t="inlineStr">
        <is>
          <t>Medium</t>
        </is>
      </c>
      <c r="H11" s="20" t="inlineStr">
        <is>
          <t>TBD</t>
        </is>
      </c>
      <c r="I11" s="19" t="inlineStr">
        <is>
          <t>In progress</t>
        </is>
      </c>
      <c r="J11" s="20" t="inlineStr">
        <is>
          <t>Empty body — add repro steps, expected vs actual.</t>
        </is>
      </c>
      <c r="K11" s="20" t="inlineStr">
        <is>
          <t>Parked</t>
        </is>
      </c>
      <c r="L11" s="20" t="inlineStr">
        <is>
          <t>When a user searches a policy using the Date From and Date To field. it is not returning any results at all.</t>
        </is>
      </c>
    </row>
    <row r="12" ht="42" customHeight="1">
      <c r="A12" s="19" t="inlineStr">
        <is>
          <t>952</t>
        </is>
      </c>
      <c r="B12" s="19" t="inlineStr">
        <is>
          <t>User Story</t>
        </is>
      </c>
      <c r="C12" s="19" t="inlineStr">
        <is>
          <t>New</t>
        </is>
      </c>
      <c r="D12" s="20" t="inlineStr">
        <is>
          <t>Unmatched Claims - Allow for creation of unmatched claims via UI</t>
        </is>
      </c>
      <c r="E12" s="20" t="inlineStr">
        <is>
          <t>Claims (FLI)</t>
        </is>
      </c>
      <c r="F12" s="19" t="inlineStr">
        <is>
          <t>Flesh out</t>
        </is>
      </c>
      <c r="G12" s="19" t="inlineStr">
        <is>
          <t>Medium</t>
        </is>
      </c>
      <c r="H12" s="20" t="inlineStr">
        <is>
          <t>TBD</t>
        </is>
      </c>
      <c r="I12" s="19" t="inlineStr">
        <is>
          <t>Not started</t>
        </is>
      </c>
      <c r="J12" s="20" t="inlineStr">
        <is>
          <t>Define the add-button flow and validation on the unmatched claims screen.</t>
        </is>
      </c>
      <c r="K12" s="20" t="inlineStr">
        <is>
          <t>FLI; Parked</t>
        </is>
      </c>
      <c r="L12" s="20" t="inlineStr">
        <is>
          <t>For unmatched claims, allow for creation of unmatched claims, this will have to be done on the unmatched claims screen with some kind of add button -</t>
        </is>
      </c>
    </row>
    <row r="13" ht="42" customHeight="1">
      <c r="A13" s="19" t="inlineStr">
        <is>
          <t>966</t>
        </is>
      </c>
      <c r="B13" s="19" t="inlineStr">
        <is>
          <t>User Story</t>
        </is>
      </c>
      <c r="C13" s="19" t="inlineStr">
        <is>
          <t>New</t>
        </is>
      </c>
      <c r="D13" s="20" t="inlineStr">
        <is>
          <t>FLI Scheme Importer - Improvements</t>
        </is>
      </c>
      <c r="E13" s="20" t="inlineStr">
        <is>
          <t>Claims (FLI)</t>
        </is>
      </c>
      <c r="F13" s="19" t="inlineStr">
        <is>
          <t>Decision</t>
        </is>
      </c>
      <c r="G13" s="19" t="inlineStr">
        <is>
          <t>Medium</t>
        </is>
      </c>
      <c r="H13" s="20" t="inlineStr">
        <is>
          <t>TBD</t>
        </is>
      </c>
      <c r="I13" s="19" t="inlineStr">
        <is>
          <t>Not started</t>
        </is>
      </c>
      <c r="J13" s="20" t="inlineStr">
        <is>
          <t>Resolve the deletion/DB-dependency approach before build.</t>
        </is>
      </c>
      <c r="K13" s="20" t="inlineStr"/>
      <c r="L13" s="20" t="inlineStr">
        <is>
          <t>This is a ticket dedicated to improving the FLI Scheme Importer. How are we deleting the products/schemes - there are many dependencies across the database table's, so if we delete the products, everything related to the deleted products must also be removed Questions for the process Are we going to</t>
        </is>
      </c>
    </row>
    <row r="14" ht="42" customHeight="1">
      <c r="A14" s="19" t="inlineStr">
        <is>
          <t>485</t>
        </is>
      </c>
      <c r="B14" s="19" t="inlineStr">
        <is>
          <t>User Story</t>
        </is>
      </c>
      <c r="C14" s="19" t="inlineStr">
        <is>
          <t>New</t>
        </is>
      </c>
      <c r="D14" s="20" t="inlineStr">
        <is>
          <t>Mid term IPT adjustments</t>
        </is>
      </c>
      <c r="E14" s="20" t="inlineStr">
        <is>
          <t>Finance / Payments</t>
        </is>
      </c>
      <c r="F14" s="19" t="inlineStr">
        <is>
          <t>Flesh out</t>
        </is>
      </c>
      <c r="G14" s="19" t="inlineStr">
        <is>
          <t>Medium</t>
        </is>
      </c>
      <c r="H14" s="20" t="inlineStr">
        <is>
          <t>TBD</t>
        </is>
      </c>
      <c r="I14" s="19" t="inlineStr">
        <is>
          <t>Not started</t>
        </is>
      </c>
      <c r="J14" s="20" t="inlineStr">
        <is>
          <t>Define the IPT adjustment rules; currently 'NEEDS MORE DETAILS'.</t>
        </is>
      </c>
      <c r="K14" s="20" t="inlineStr">
        <is>
          <t>Not Specced; Parked</t>
        </is>
      </c>
      <c r="L14" s="20" t="inlineStr">
        <is>
          <t>NEEDS MORE DETAILS</t>
        </is>
      </c>
    </row>
    <row r="15" ht="42" customHeight="1">
      <c r="A15" s="19" t="inlineStr">
        <is>
          <t>1420</t>
        </is>
      </c>
      <c r="B15" s="19" t="inlineStr">
        <is>
          <t>Feature</t>
        </is>
      </c>
      <c r="C15" s="19" t="inlineStr">
        <is>
          <t>New</t>
        </is>
      </c>
      <c r="D15" s="20" t="inlineStr">
        <is>
          <t>New agreements finance instruction</t>
        </is>
      </c>
      <c r="E15" s="20" t="inlineStr">
        <is>
          <t>Finance / Payments</t>
        </is>
      </c>
      <c r="F15" s="19" t="inlineStr">
        <is>
          <t>Flesh out</t>
        </is>
      </c>
      <c r="G15" s="19" t="inlineStr">
        <is>
          <t>Medium</t>
        </is>
      </c>
      <c r="H15" s="20" t="inlineStr">
        <is>
          <t>TBD</t>
        </is>
      </c>
      <c r="I15" s="19" t="inlineStr">
        <is>
          <t>Not started</t>
        </is>
      </c>
      <c r="J15" s="20" t="inlineStr">
        <is>
          <t>Define the data gaps on Cirrus and the required instruction format.</t>
        </is>
      </c>
      <c r="K15" s="20" t="inlineStr"/>
      <c r="L15" s="20" t="inlineStr">
        <is>
          <t>When new agreements come in, we need to send a finance instruction to the accounts team, there is a set format for this already some of the data we dont have on Cirrus so will need to see what we can bring in. (attached to work item) I think this is just the "finance instruction" sheet from the spre</t>
        </is>
      </c>
    </row>
    <row r="16" ht="42" customHeight="1">
      <c r="A16" s="19" t="inlineStr">
        <is>
          <t>862</t>
        </is>
      </c>
      <c r="B16" s="19" t="inlineStr">
        <is>
          <t>User Story</t>
        </is>
      </c>
      <c r="C16" s="19" t="inlineStr">
        <is>
          <t>New</t>
        </is>
      </c>
      <c r="D16" s="20" t="inlineStr">
        <is>
          <t>Cirrus - Allow ability to update phone numbers (needs discussion)</t>
        </is>
      </c>
      <c r="E16" s="20" t="inlineStr">
        <is>
          <t>Invoicing (Cirrus)</t>
        </is>
      </c>
      <c r="F16" s="19" t="inlineStr">
        <is>
          <t>Decision</t>
        </is>
      </c>
      <c r="G16" s="19" t="inlineStr">
        <is>
          <t>Medium</t>
        </is>
      </c>
      <c r="H16" s="20" t="inlineStr">
        <is>
          <t>TBD</t>
        </is>
      </c>
      <c r="I16" s="19" t="inlineStr">
        <is>
          <t>Not started</t>
        </is>
      </c>
      <c r="J16" s="20" t="inlineStr">
        <is>
          <t>Resolve the open question flagged in the title before speccing.</t>
        </is>
      </c>
      <c r="K16" s="20" t="inlineStr">
        <is>
          <t>Cirrus; Parked</t>
        </is>
      </c>
      <c r="L16" s="20" t="inlineStr">
        <is>
          <t>Currently, a company phone number cannot be updated via the User interface, there could be cases where they need to update both Main number and/or mobile number. Also, if a company number changes, and they then RENEW the contract, the import currently does not do a check on the new service agreement</t>
        </is>
      </c>
    </row>
    <row r="17" ht="42" customHeight="1">
      <c r="A17" s="19" t="inlineStr">
        <is>
          <t>864</t>
        </is>
      </c>
      <c r="B17" s="19" t="inlineStr">
        <is>
          <t>User Story</t>
        </is>
      </c>
      <c r="C17" s="19" t="inlineStr">
        <is>
          <t>New</t>
        </is>
      </c>
      <c r="D17" s="20" t="inlineStr">
        <is>
          <t>Invoicing Meeting - Notes</t>
        </is>
      </c>
      <c r="E17" s="20" t="inlineStr">
        <is>
          <t>Invoicing (Cirrus)</t>
        </is>
      </c>
      <c r="F17" s="19" t="inlineStr">
        <is>
          <t>Flesh out</t>
        </is>
      </c>
      <c r="G17" s="19" t="inlineStr">
        <is>
          <t>Medium</t>
        </is>
      </c>
      <c r="H17" s="20" t="inlineStr">
        <is>
          <t>TBD</t>
        </is>
      </c>
      <c r="I17" s="19" t="inlineStr">
        <is>
          <t>Not started</t>
        </is>
      </c>
      <c r="J17" s="20" t="inlineStr">
        <is>
          <t>This is raw meeting notes — split into discrete, actionable tickets.</t>
        </is>
      </c>
      <c r="K17" s="20" t="inlineStr">
        <is>
          <t>Cirrus; Parked</t>
        </is>
      </c>
      <c r="L17" s="20" t="inlineStr">
        <is>
          <t>Meeting that has taken place on 26/09/2024 SA all need to be separate invoice rule Work out amending existing backlog, either via sage/cirrus or power BI Need to think about LEI changes and mid term LEI changes Update Invoice layout Investigate the payment status Cirrus Service agreement - Allow for</t>
        </is>
      </c>
    </row>
    <row r="18" ht="42" customHeight="1">
      <c r="A18" s="19" t="inlineStr">
        <is>
          <t>1322</t>
        </is>
      </c>
      <c r="B18" s="19" t="inlineStr">
        <is>
          <t>Bug</t>
        </is>
      </c>
      <c r="C18" s="19" t="inlineStr">
        <is>
          <t>New</t>
        </is>
      </c>
      <c r="D18" s="20" t="inlineStr">
        <is>
          <t>CustomHttpAuthorizeAttribute.AllowClaim</t>
        </is>
      </c>
      <c r="E18" s="20" t="inlineStr">
        <is>
          <t>Platform / Infra</t>
        </is>
      </c>
      <c r="F18" s="19" t="inlineStr">
        <is>
          <t>Flesh out</t>
        </is>
      </c>
      <c r="G18" s="19" t="inlineStr">
        <is>
          <t>Medium</t>
        </is>
      </c>
      <c r="H18" s="20" t="inlineStr">
        <is>
          <t>Adrian Calvert</t>
        </is>
      </c>
      <c r="I18" s="19" t="inlineStr">
        <is>
          <t>Not started</t>
        </is>
      </c>
      <c r="J18" s="20" t="inlineStr">
        <is>
          <t>Empty body — describe the auth defect and impact.</t>
        </is>
      </c>
      <c r="K18" s="20" t="inlineStr"/>
      <c r="L18" s="20" t="inlineStr">
        <is>
          <t xml:space="preserve">This isn't a bug right now, but in the future it may fall down. The way that we restrict access to cases on the portal is by putting all of the case IDs that a user can access into their token on login (see Constants.CustomClaimTypes.AssociatedClaims), this is fine now, but the cookie limit is less </t>
        </is>
      </c>
    </row>
    <row r="19" ht="42" customHeight="1">
      <c r="A19" s="19" t="inlineStr">
        <is>
          <t>1550</t>
        </is>
      </c>
      <c r="B19" s="19" t="inlineStr">
        <is>
          <t>Bug</t>
        </is>
      </c>
      <c r="C19" s="19" t="inlineStr">
        <is>
          <t>New</t>
        </is>
      </c>
      <c r="D19" s="20" t="inlineStr">
        <is>
          <t>singleValueExtendedProperties causing mail failure</t>
        </is>
      </c>
      <c r="E19" s="20" t="inlineStr">
        <is>
          <t>Platform / Infra</t>
        </is>
      </c>
      <c r="F19" s="19" t="inlineStr">
        <is>
          <t>Flesh out</t>
        </is>
      </c>
      <c r="G19" s="19" t="inlineStr">
        <is>
          <t>Medium</t>
        </is>
      </c>
      <c r="H19" s="20" t="inlineStr">
        <is>
          <t>Adrian Calvert</t>
        </is>
      </c>
      <c r="I19" s="19" t="inlineStr">
        <is>
          <t>Not started</t>
        </is>
      </c>
      <c r="J19" s="20" t="inlineStr">
        <is>
          <t>Empty body — add repro and the failing payload.</t>
        </is>
      </c>
      <c r="K19" s="20" t="inlineStr"/>
      <c r="L19" s="20" t="inlineStr">
        <is>
          <t>We use singleValueExtendedProperties when sending mail via graph but don't actually use the id anymore, It may have been used for the prior way of sending mail. Either way MS now have a limit on how much can use singleValueExtendedProperties and we've started hitting that limit. singleValueExtendedP</t>
        </is>
      </c>
    </row>
    <row r="20" ht="42" customHeight="1">
      <c r="A20" s="19" t="inlineStr">
        <is>
          <t>1433</t>
        </is>
      </c>
      <c r="B20" s="19" t="inlineStr">
        <is>
          <t>Feature</t>
        </is>
      </c>
      <c r="C20" s="19" t="inlineStr">
        <is>
          <t>New</t>
        </is>
      </c>
      <c r="D20" s="20" t="inlineStr">
        <is>
          <t>Supportis - Invoicing - Financers</t>
        </is>
      </c>
      <c r="E20" s="20" t="inlineStr">
        <is>
          <t>Supportis</t>
        </is>
      </c>
      <c r="F20" s="19" t="inlineStr">
        <is>
          <t>Flesh out</t>
        </is>
      </c>
      <c r="G20" s="19" t="inlineStr">
        <is>
          <t>Medium</t>
        </is>
      </c>
      <c r="H20" s="20" t="inlineStr">
        <is>
          <t>TBD</t>
        </is>
      </c>
      <c r="I20" s="19" t="inlineStr">
        <is>
          <t>Not started</t>
        </is>
      </c>
      <c r="J20" s="20" t="inlineStr">
        <is>
          <t>Tagged FLESH OUT — book a 30-min spec session (pair with #1434).</t>
        </is>
      </c>
      <c r="K20" s="20" t="inlineStr">
        <is>
          <t>FLESH OUT; Parked</t>
        </is>
      </c>
      <c r="L20" s="20" t="inlineStr">
        <is>
          <t>Financers concept in the system so that we can target logic against the financers</t>
        </is>
      </c>
    </row>
    <row r="21" ht="42" customHeight="1">
      <c r="A21" s="19" t="inlineStr">
        <is>
          <t>1434</t>
        </is>
      </c>
      <c r="B21" s="19" t="inlineStr">
        <is>
          <t>Feature</t>
        </is>
      </c>
      <c r="C21" s="19" t="inlineStr">
        <is>
          <t>New</t>
        </is>
      </c>
      <c r="D21" s="20" t="inlineStr">
        <is>
          <t>Supportis - Invoicing - Request for payment generation</t>
        </is>
      </c>
      <c r="E21" s="20" t="inlineStr">
        <is>
          <t>Supportis</t>
        </is>
      </c>
      <c r="F21" s="19" t="inlineStr">
        <is>
          <t>Flesh out</t>
        </is>
      </c>
      <c r="G21" s="19" t="inlineStr">
        <is>
          <t>Medium</t>
        </is>
      </c>
      <c r="H21" s="20" t="inlineStr">
        <is>
          <t>TBD</t>
        </is>
      </c>
      <c r="I21" s="19" t="inlineStr">
        <is>
          <t>Not started</t>
        </is>
      </c>
      <c r="J21" s="20" t="inlineStr">
        <is>
          <t>Tagged FLESH OUT — spec alongside #1433.</t>
        </is>
      </c>
      <c r="K21" s="20" t="inlineStr">
        <is>
          <t>FLESH OUT; Parked</t>
        </is>
      </c>
      <c r="L21" s="20" t="inlineStr">
        <is>
          <t>Alter request for payment as per finance instructions</t>
        </is>
      </c>
    </row>
    <row r="22" ht="42" customHeight="1">
      <c r="A22" s="19" t="inlineStr">
        <is>
          <t>804</t>
        </is>
      </c>
      <c r="B22" s="19" t="inlineStr">
        <is>
          <t>User Story</t>
        </is>
      </c>
      <c r="C22" s="19" t="inlineStr">
        <is>
          <t>New</t>
        </is>
      </c>
      <c r="D22" s="20" t="inlineStr">
        <is>
          <t>Quick add contacts</t>
        </is>
      </c>
      <c r="E22" s="20" t="inlineStr">
        <is>
          <t>CRM</t>
        </is>
      </c>
      <c r="F22" s="19" t="inlineStr">
        <is>
          <t>Flesh out</t>
        </is>
      </c>
      <c r="G22" s="19" t="inlineStr">
        <is>
          <t>Low</t>
        </is>
      </c>
      <c r="H22" s="20" t="inlineStr">
        <is>
          <t>TBD</t>
        </is>
      </c>
      <c r="I22" s="19" t="inlineStr">
        <is>
          <t>Not started</t>
        </is>
      </c>
      <c r="J22" s="20" t="inlineStr">
        <is>
          <t>Define UX for quick-add from the send-mail aside; add acceptance criteria.</t>
        </is>
      </c>
      <c r="K22" s="20" t="inlineStr">
        <is>
          <t>FLI Claims Meeting; Parked</t>
        </is>
      </c>
      <c r="L22" s="20" t="inlineStr">
        <is>
          <t>Interface to quickly add contacts from the send mail asides</t>
        </is>
      </c>
    </row>
    <row r="23" ht="42" customHeight="1">
      <c r="A23" s="19" t="inlineStr">
        <is>
          <t>1163</t>
        </is>
      </c>
      <c r="B23" s="19" t="inlineStr">
        <is>
          <t>Feature</t>
        </is>
      </c>
      <c r="C23" s="19" t="inlineStr">
        <is>
          <t>New</t>
        </is>
      </c>
      <c r="D23" s="20" t="inlineStr">
        <is>
          <t>Dual Drive - Quote PDF/customer application summary creation</t>
        </is>
      </c>
      <c r="E23" s="20" t="inlineStr">
        <is>
          <t>Quoting (Dual Drive)</t>
        </is>
      </c>
      <c r="F23" s="19" t="inlineStr">
        <is>
          <t>Decision</t>
        </is>
      </c>
      <c r="G23" s="19" t="inlineStr">
        <is>
          <t>Low</t>
        </is>
      </c>
      <c r="H23" s="20" t="inlineStr">
        <is>
          <t>TBD</t>
        </is>
      </c>
      <c r="I23" s="19" t="inlineStr">
        <is>
          <t>Not started</t>
        </is>
      </c>
      <c r="J23" s="20" t="inlineStr">
        <is>
          <t>Scope changed (Dual Drive now uses DocuSign). Confirm whether still needed.</t>
        </is>
      </c>
      <c r="K23" s="20" t="inlineStr"/>
      <c r="L23" s="20" t="inlineStr">
        <is>
          <t>This has changed a little, Dual Drive no longer needs it as they use DocuSign direct, but there are other reasons to get this working, another work item is focused on it Bit of an investigation/reverse engineering piece. We have this document processor engine, the client API for it sits in the Kalei</t>
        </is>
      </c>
    </row>
  </sheetData>
  <autoFilter ref="A1:L23"/>
  <conditionalFormatting sqref="F2:F23">
    <cfRule type="cellIs" priority="1" operator="equal" dxfId="0">
      <formula>"Ready to assign"</formula>
    </cfRule>
    <cfRule type="cellIs" priority="2" operator="equal" dxfId="1">
      <formula>"Flesh out"</formula>
    </cfRule>
    <cfRule type="cellIs" priority="3" operator="equal" dxfId="2">
      <formula>"Decision"</formula>
    </cfRule>
  </conditionalFormatting>
  <conditionalFormatting sqref="G2:G23">
    <cfRule type="cellIs" priority="4" operator="equal" dxfId="2">
      <formula>"High"</formula>
    </cfRule>
    <cfRule type="cellIs" priority="5" operator="equal" dxfId="3">
      <formula>"Medium"</formula>
    </cfRule>
  </conditionalFormatting>
  <conditionalFormatting sqref="I2:I23">
    <cfRule type="cellIs" priority="6" operator="equal" dxfId="0">
      <formula>"Done"</formula>
    </cfRule>
  </conditionalFormatting>
  <dataValidations count="4">
    <dataValidation sqref="F2:F23" showDropDown="0" showInputMessage="0" showErrorMessage="0" allowBlank="1" type="list">
      <formula1>"Ready to assign,Flesh out,Decision"</formula1>
    </dataValidation>
    <dataValidation sqref="G2:G23" showDropDown="0" showInputMessage="0" showErrorMessage="0" allowBlank="1" type="list">
      <formula1>"High,Medium,Low"</formula1>
    </dataValidation>
    <dataValidation sqref="I2:I23" showDropDown="0" showInputMessage="0" showErrorMessage="0" allowBlank="1" type="list">
      <formula1>"Not started,In progress,Specced,Assigned,Done"</formula1>
    </dataValidation>
    <dataValidation sqref="H2:H23" showDropDown="0" showInputMessage="0" showErrorMessage="0" allowBlank="1" type="list">
      <formula1>"TBD,Cameron Robson-Leigh,Jack Woodhouse,Danny Chen,Adrian Calvert,Louis Thorne,Brendan Thomas"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2026-06-03T11:23:00Z</dcterms:created>
  <dcterms:modified xmlns:dcterms="http://purl.org/dc/terms/" xmlns:xsi="http://www.w3.org/2001/XMLSchema-instance" xsi:type="dcterms:W3CDTF">2026-06-03T11:23:00Z</dcterms:modified>
</cp:coreProperties>
</file>